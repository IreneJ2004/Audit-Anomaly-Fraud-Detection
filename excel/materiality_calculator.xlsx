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d5eae8b98d8398f/Documents/Data_Analytics_Portfolio/Project_1_Audit_Anomaly_Fraud/excel/"/>
    </mc:Choice>
  </mc:AlternateContent>
  <xr:revisionPtr revIDLastSave="1" documentId="11_F1DFA40911B283647D143606A273B3776CE87BF7" xr6:coauthVersionLast="47" xr6:coauthVersionMax="47" xr10:uidLastSave="{AB6ACF64-A412-4ED4-92BB-729E829C54B1}"/>
  <bookViews>
    <workbookView xWindow="-108" yWindow="-108" windowWidth="23256" windowHeight="13176" tabRatio="500" xr2:uid="{00000000-000D-0000-FFFF-FFFF00000000}"/>
  </bookViews>
  <sheets>
    <sheet name="Materiality Calculato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1" i="1" l="1"/>
  <c r="E31" i="1" s="1"/>
  <c r="C31" i="1"/>
  <c r="E30" i="1"/>
  <c r="E29" i="1"/>
  <c r="E28" i="1"/>
  <c r="E27" i="1"/>
  <c r="E26" i="1"/>
  <c r="E25" i="1"/>
  <c r="F24" i="1"/>
  <c r="E24" i="1"/>
  <c r="E23" i="1"/>
  <c r="E22" i="1"/>
  <c r="E21" i="1"/>
  <c r="B14" i="1"/>
  <c r="B11" i="1"/>
  <c r="F30" i="1" s="1"/>
  <c r="F26" i="1" l="1"/>
  <c r="B13" i="1"/>
  <c r="F27" i="1"/>
  <c r="F21" i="1"/>
  <c r="F28" i="1"/>
  <c r="F22" i="1"/>
  <c r="B12" i="1"/>
  <c r="F25" i="1"/>
  <c r="F29" i="1"/>
  <c r="F23" i="1"/>
</calcChain>
</file>

<file path=xl/sharedStrings.xml><?xml version="1.0" encoding="utf-8"?>
<sst xmlns="http://schemas.openxmlformats.org/spreadsheetml/2006/main" count="35" uniqueCount="35">
  <si>
    <t>Audit Materiality Threshold Calculator</t>
  </si>
  <si>
    <t>Based on total GL transaction value, FY 2024-25 (Apr'24-Mar'25, simulated dataset)</t>
  </si>
  <si>
    <t>Key Assumptions</t>
  </si>
  <si>
    <t>Total GL Transaction Value (Rs)</t>
  </si>
  <si>
    <t>Overall Materiality % (industry-standard benchmark, 5%)</t>
  </si>
  <si>
    <t>Performance Materiality % (typically 75% of overall)</t>
  </si>
  <si>
    <t>Individually-Significant-Item Threshold (typically 50% of overall materiality)</t>
  </si>
  <si>
    <t>Calculated Thresholds</t>
  </si>
  <si>
    <t>Overall Materiality (Rs)</t>
  </si>
  <si>
    <t>Performance Materiality (Rs)</t>
  </si>
  <si>
    <t>Individually Significant Item Threshold (Rs)</t>
  </si>
  <si>
    <t>Approval Sub-Threshold Watch Band (97%-100% of Rs 5,00,000 limit)</t>
  </si>
  <si>
    <t>Note: Materiality benchmarks (5% of a relevant base) follow common audit practice guidance (e.g., SA 320 / ISA 320 concepts used under Indian and international auditing standards). Adjust B6-B8 for engagement-specific judgment.</t>
  </si>
  <si>
    <t>Account-Level Materiality Assessment</t>
  </si>
  <si>
    <t>Account Code</t>
  </si>
  <si>
    <t>Account Name</t>
  </si>
  <si>
    <t>Txn Count</t>
  </si>
  <si>
    <t>Total Amount (Rs)</t>
  </si>
  <si>
    <t>% of Total GL</t>
  </si>
  <si>
    <t>Above Overall Materiality?</t>
  </si>
  <si>
    <t>Professional &amp; Legal Fees</t>
  </si>
  <si>
    <t>Marketing &amp; Advertising</t>
  </si>
  <si>
    <t>Rent &amp; Facilities</t>
  </si>
  <si>
    <t>Repairs &amp; Maintenance</t>
  </si>
  <si>
    <t>Equipment Purchases (Capex)</t>
  </si>
  <si>
    <t>Travel &amp; Conveyance</t>
  </si>
  <si>
    <t>Electricity &amp; Utilities</t>
  </si>
  <si>
    <t>IT &amp; Software Licenses</t>
  </si>
  <si>
    <t>Consulting Services</t>
  </si>
  <si>
    <t>Office Supplies &amp; Stationery</t>
  </si>
  <si>
    <t>TOTAL</t>
  </si>
  <si>
    <t>Legend</t>
  </si>
  <si>
    <t>Blue text = input / hardcoded value</t>
  </si>
  <si>
    <t>Black text = formula (recalculates automatically)</t>
  </si>
  <si>
    <t>Yellow fill = key assumption cell (edit these to re-run scenarios)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</si>
</sst>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##,##0.00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1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5" fillId="2" borderId="0" xfId="0" applyNumberFormat="1" applyFont="1" applyFill="1"/>
    <xf numFmtId="165" fontId="5" fillId="2" borderId="0" xfId="0" applyNumberFormat="1" applyFont="1" applyFill="1"/>
    <xf numFmtId="164" fontId="4" fillId="0" borderId="0" xfId="0" applyNumberFormat="1" applyFont="1"/>
    <xf numFmtId="0" fontId="7" fillId="3" borderId="1" xfId="0" applyFont="1" applyFill="1" applyBorder="1" applyAlignment="1">
      <alignment horizontal="center" wrapText="1"/>
    </xf>
    <xf numFmtId="0" fontId="5" fillId="0" borderId="1" xfId="0" applyFont="1" applyBorder="1"/>
    <xf numFmtId="164" fontId="5" fillId="0" borderId="1" xfId="0" applyNumberFormat="1" applyFont="1" applyBorder="1"/>
    <xf numFmtId="165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5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zoomScaleNormal="100" workbookViewId="0">
      <selection activeCell="F6" sqref="F6"/>
    </sheetView>
  </sheetViews>
  <sheetFormatPr defaultColWidth="8.6640625" defaultRowHeight="14.4" x14ac:dyDescent="0.3"/>
  <cols>
    <col min="1" max="1" width="71.5546875" customWidth="1"/>
    <col min="2" max="2" width="32" customWidth="1"/>
    <col min="3" max="3" width="12" customWidth="1"/>
    <col min="4" max="4" width="20" customWidth="1"/>
    <col min="5" max="5" width="14" customWidth="1"/>
    <col min="6" max="6" width="24" customWidth="1"/>
  </cols>
  <sheetData>
    <row r="1" spans="1:6" ht="17.399999999999999" x14ac:dyDescent="0.3">
      <c r="A1" s="2" t="s">
        <v>0</v>
      </c>
    </row>
    <row r="2" spans="1:6" x14ac:dyDescent="0.3">
      <c r="A2" s="3" t="s">
        <v>1</v>
      </c>
    </row>
    <row r="4" spans="1:6" x14ac:dyDescent="0.3">
      <c r="A4" s="4" t="s">
        <v>2</v>
      </c>
    </row>
    <row r="5" spans="1:6" x14ac:dyDescent="0.3">
      <c r="A5" s="5" t="s">
        <v>3</v>
      </c>
      <c r="B5" s="6">
        <v>747159231.79999995</v>
      </c>
    </row>
    <row r="6" spans="1:6" x14ac:dyDescent="0.3">
      <c r="A6" s="5" t="s">
        <v>4</v>
      </c>
      <c r="B6" s="7">
        <v>0.05</v>
      </c>
    </row>
    <row r="7" spans="1:6" x14ac:dyDescent="0.3">
      <c r="A7" s="5" t="s">
        <v>5</v>
      </c>
      <c r="B7" s="7">
        <v>0.75</v>
      </c>
    </row>
    <row r="8" spans="1:6" x14ac:dyDescent="0.3">
      <c r="A8" s="5" t="s">
        <v>6</v>
      </c>
      <c r="B8" s="7">
        <v>0.5</v>
      </c>
    </row>
    <row r="10" spans="1:6" x14ac:dyDescent="0.3">
      <c r="A10" s="4" t="s">
        <v>7</v>
      </c>
    </row>
    <row r="11" spans="1:6" x14ac:dyDescent="0.3">
      <c r="A11" s="5" t="s">
        <v>8</v>
      </c>
      <c r="B11" s="8">
        <f>B5*B6</f>
        <v>37357961.589999996</v>
      </c>
    </row>
    <row r="12" spans="1:6" x14ac:dyDescent="0.3">
      <c r="A12" s="5" t="s">
        <v>9</v>
      </c>
      <c r="B12" s="8">
        <f>B11*B7</f>
        <v>28018471.192499995</v>
      </c>
    </row>
    <row r="13" spans="1:6" x14ac:dyDescent="0.3">
      <c r="A13" s="5" t="s">
        <v>10</v>
      </c>
      <c r="B13" s="8">
        <f>B11*B8</f>
        <v>18678980.794999998</v>
      </c>
    </row>
    <row r="14" spans="1:6" x14ac:dyDescent="0.3">
      <c r="A14" s="5" t="s">
        <v>11</v>
      </c>
      <c r="B14" s="8">
        <f>485000</f>
        <v>485000</v>
      </c>
    </row>
    <row r="16" spans="1:6" ht="30" customHeight="1" x14ac:dyDescent="0.3">
      <c r="A16" s="1" t="s">
        <v>12</v>
      </c>
      <c r="B16" s="1"/>
      <c r="C16" s="1"/>
      <c r="D16" s="1"/>
      <c r="E16" s="1"/>
      <c r="F16" s="1"/>
    </row>
    <row r="19" spans="1:6" x14ac:dyDescent="0.3">
      <c r="A19" s="4" t="s">
        <v>13</v>
      </c>
    </row>
    <row r="20" spans="1:6" ht="28.2" x14ac:dyDescent="0.3">
      <c r="A20" s="9" t="s">
        <v>14</v>
      </c>
      <c r="B20" s="9" t="s">
        <v>15</v>
      </c>
      <c r="C20" s="9" t="s">
        <v>16</v>
      </c>
      <c r="D20" s="9" t="s">
        <v>17</v>
      </c>
      <c r="E20" s="9" t="s">
        <v>18</v>
      </c>
      <c r="F20" s="9" t="s">
        <v>19</v>
      </c>
    </row>
    <row r="21" spans="1:6" x14ac:dyDescent="0.3">
      <c r="A21" s="10">
        <v>6300</v>
      </c>
      <c r="B21" s="10" t="s">
        <v>20</v>
      </c>
      <c r="C21" s="10">
        <v>1587</v>
      </c>
      <c r="D21" s="11">
        <v>98558860.340000004</v>
      </c>
      <c r="E21" s="12">
        <f t="shared" ref="E21:E31" si="0">D21/$B$5</f>
        <v>0.13191145360348341</v>
      </c>
      <c r="F21" s="13" t="str">
        <f t="shared" ref="F21:F30" si="1">IF(D21&gt;$B$11,"ABOVE MATERIALITY","Below materiality")</f>
        <v>ABOVE MATERIALITY</v>
      </c>
    </row>
    <row r="22" spans="1:6" x14ac:dyDescent="0.3">
      <c r="A22" s="10">
        <v>6500</v>
      </c>
      <c r="B22" s="10" t="s">
        <v>21</v>
      </c>
      <c r="C22" s="10">
        <v>1535</v>
      </c>
      <c r="D22" s="11">
        <v>86328316.189999998</v>
      </c>
      <c r="E22" s="12">
        <f t="shared" si="0"/>
        <v>0.1155420591967047</v>
      </c>
      <c r="F22" s="13" t="str">
        <f t="shared" si="1"/>
        <v>ABOVE MATERIALITY</v>
      </c>
    </row>
    <row r="23" spans="1:6" x14ac:dyDescent="0.3">
      <c r="A23" s="10">
        <v>7200</v>
      </c>
      <c r="B23" s="10" t="s">
        <v>22</v>
      </c>
      <c r="C23" s="10">
        <v>1504</v>
      </c>
      <c r="D23" s="11">
        <v>84683089.370000005</v>
      </c>
      <c r="E23" s="12">
        <f t="shared" si="0"/>
        <v>0.11334008303154852</v>
      </c>
      <c r="F23" s="13" t="str">
        <f t="shared" si="1"/>
        <v>ABOVE MATERIALITY</v>
      </c>
    </row>
    <row r="24" spans="1:6" x14ac:dyDescent="0.3">
      <c r="A24" s="10">
        <v>6700</v>
      </c>
      <c r="B24" s="10" t="s">
        <v>23</v>
      </c>
      <c r="C24" s="10">
        <v>1559</v>
      </c>
      <c r="D24" s="11">
        <v>81164854.879999995</v>
      </c>
      <c r="E24" s="12">
        <f t="shared" si="0"/>
        <v>0.10863126817621421</v>
      </c>
      <c r="F24" s="13" t="str">
        <f t="shared" si="1"/>
        <v>ABOVE MATERIALITY</v>
      </c>
    </row>
    <row r="25" spans="1:6" x14ac:dyDescent="0.3">
      <c r="A25" s="10">
        <v>7100</v>
      </c>
      <c r="B25" s="10" t="s">
        <v>24</v>
      </c>
      <c r="C25" s="10">
        <v>1461</v>
      </c>
      <c r="D25" s="11">
        <v>78435489.799999997</v>
      </c>
      <c r="E25" s="12">
        <f t="shared" si="0"/>
        <v>0.10497827833973102</v>
      </c>
      <c r="F25" s="13" t="str">
        <f t="shared" si="1"/>
        <v>ABOVE MATERIALITY</v>
      </c>
    </row>
    <row r="26" spans="1:6" x14ac:dyDescent="0.3">
      <c r="A26" s="10">
        <v>6100</v>
      </c>
      <c r="B26" s="10" t="s">
        <v>25</v>
      </c>
      <c r="C26" s="10">
        <v>1562</v>
      </c>
      <c r="D26" s="11">
        <v>71563547.510000005</v>
      </c>
      <c r="E26" s="12">
        <f t="shared" si="0"/>
        <v>9.5780851609896425E-2</v>
      </c>
      <c r="F26" s="13" t="str">
        <f t="shared" si="1"/>
        <v>ABOVE MATERIALITY</v>
      </c>
    </row>
    <row r="27" spans="1:6" x14ac:dyDescent="0.3">
      <c r="A27" s="10">
        <v>6600</v>
      </c>
      <c r="B27" s="10" t="s">
        <v>26</v>
      </c>
      <c r="C27" s="10">
        <v>1501</v>
      </c>
      <c r="D27" s="11">
        <v>66769902.130000003</v>
      </c>
      <c r="E27" s="12">
        <f t="shared" si="0"/>
        <v>8.9365023261698803E-2</v>
      </c>
      <c r="F27" s="13" t="str">
        <f t="shared" si="1"/>
        <v>ABOVE MATERIALITY</v>
      </c>
    </row>
    <row r="28" spans="1:6" x14ac:dyDescent="0.3">
      <c r="A28" s="10">
        <v>6400</v>
      </c>
      <c r="B28" s="10" t="s">
        <v>27</v>
      </c>
      <c r="C28" s="10">
        <v>1575</v>
      </c>
      <c r="D28" s="11">
        <v>61839011.270000003</v>
      </c>
      <c r="E28" s="12">
        <f t="shared" si="0"/>
        <v>8.2765505180230584E-2</v>
      </c>
      <c r="F28" s="13" t="str">
        <f t="shared" si="1"/>
        <v>ABOVE MATERIALITY</v>
      </c>
    </row>
    <row r="29" spans="1:6" x14ac:dyDescent="0.3">
      <c r="A29" s="10">
        <v>6800</v>
      </c>
      <c r="B29" s="10" t="s">
        <v>28</v>
      </c>
      <c r="C29" s="10">
        <v>1516</v>
      </c>
      <c r="D29" s="11">
        <v>61718048.439999998</v>
      </c>
      <c r="E29" s="12">
        <f t="shared" si="0"/>
        <v>8.260360819113953E-2</v>
      </c>
      <c r="F29" s="13" t="str">
        <f t="shared" si="1"/>
        <v>ABOVE MATERIALITY</v>
      </c>
    </row>
    <row r="30" spans="1:6" x14ac:dyDescent="0.3">
      <c r="A30" s="10">
        <v>6200</v>
      </c>
      <c r="B30" s="10" t="s">
        <v>29</v>
      </c>
      <c r="C30" s="10">
        <v>1450</v>
      </c>
      <c r="D30" s="11">
        <v>56098111.869999997</v>
      </c>
      <c r="E30" s="12">
        <f t="shared" si="0"/>
        <v>7.5081869409352853E-2</v>
      </c>
      <c r="F30" s="13" t="str">
        <f t="shared" si="1"/>
        <v>ABOVE MATERIALITY</v>
      </c>
    </row>
    <row r="31" spans="1:6" x14ac:dyDescent="0.3">
      <c r="A31" s="14"/>
      <c r="B31" s="15" t="s">
        <v>30</v>
      </c>
      <c r="C31" s="15">
        <f>SUM(C21:C30)</f>
        <v>15250</v>
      </c>
      <c r="D31" s="16">
        <f>SUM(D21:D30)</f>
        <v>747159231.80000007</v>
      </c>
      <c r="E31" s="17">
        <f t="shared" si="0"/>
        <v>1.0000000000000002</v>
      </c>
      <c r="F31" s="14"/>
    </row>
    <row r="34" spans="1:1" x14ac:dyDescent="0.3">
      <c r="A34" s="4" t="s">
        <v>31</v>
      </c>
    </row>
    <row r="35" spans="1:1" x14ac:dyDescent="0.3">
      <c r="A35" s="18" t="s">
        <v>32</v>
      </c>
    </row>
    <row r="36" spans="1:1" x14ac:dyDescent="0.3">
      <c r="A36" s="5" t="s">
        <v>33</v>
      </c>
    </row>
    <row r="37" spans="1:1" x14ac:dyDescent="0.3">
      <c r="A37" s="19" t="s">
        <v>34</v>
      </c>
    </row>
  </sheetData>
  <mergeCells count="1">
    <mergeCell ref="A16:F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Materiality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Irene James</cp:lastModifiedBy>
  <cp:revision>0</cp:revision>
  <dcterms:created xsi:type="dcterms:W3CDTF">2026-09-18T07:18:54Z</dcterms:created>
  <dcterms:modified xsi:type="dcterms:W3CDTF">2026-09-18T21:19:46Z</dcterms:modified>
  <dc:language>en-US</dc:language>
</cp:coreProperties>
</file>